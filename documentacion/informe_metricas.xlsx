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>
    <definedName hidden="1" localSheetId="0" name="_xlnm._FilterDatabase">'Hoja 1'!$A$1:$C$1000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responde pero no lo que tiene que hacer por pais
	-Raquel Hernandez</t>
      </text>
    </comment>
    <comment authorId="0" ref="A38">
      <text>
        <t xml:space="preserve">"error":"Consulta sin resultados"
	-Raquel Hernandez</t>
      </text>
    </comment>
    <comment authorId="0" ref="A37">
      <text>
        <t xml:space="preserve">responde algo que no tiene que ver con conteo transacciones
	-Raquel Hernandez</t>
      </text>
    </comment>
    <comment authorId="0" ref="A36">
      <text>
        <t xml:space="preserve">"error":"Consulta sin resultados"
	-Raquel Hernandez</t>
      </text>
    </comment>
    <comment authorId="0" ref="A35">
      <text>
        <t xml:space="preserve">me da 5 solo
	-Raquel Hernandez</t>
      </text>
    </comment>
    <comment authorId="0" ref="A34">
      <text>
        <t xml:space="preserve">No da tabla con clientes
	-Raquel Hernandez</t>
      </text>
    </comment>
    <comment authorId="0" ref="A33">
      <text>
        <t xml:space="preserve">"(psycopg2.errors.SyntaxError) syntax error at or near "producto"
	-Raquel Hernandez</t>
      </text>
    </comment>
    <comment authorId="0" ref="A32">
      <text>
        <t xml:space="preserve">"error":"Consulta sin resultados"
	-Raquel Hernandez</t>
      </text>
    </comment>
    <comment authorId="0" ref="A31">
      <text>
        <t xml:space="preserve">"error":"Consulta sin resultados"
	-Raquel Hernandez</t>
      </text>
    </comment>
    <comment authorId="0" ref="A30">
      <text>
        <t xml:space="preserve">"error":"Consulta sin resultados"
	-Raquel Hernandez</t>
      </text>
    </comment>
    <comment authorId="0" ref="A29">
      <text>
        <t xml:space="preserve">"error":"Consulta sin resultados"
	-Raquel Hernandez</t>
      </text>
    </comment>
    <comment authorId="0" ref="A27">
      <text>
        <t xml:space="preserve">"(psycopg2.errors.SyntaxError) syntax error at or near "producto"
	-Raquel Hernandez</t>
      </text>
    </comment>
    <comment authorId="0" ref="A26">
      <text>
        <t xml:space="preserve">"(psycopg2.errors.SyntaxError) syntax error at or near "producto"
	-Raquel Hernandez</t>
      </text>
    </comment>
    <comment authorId="0" ref="A25">
      <text>
        <t xml:space="preserve">Consulta sin resultados
	-Raquel Hernandez</t>
      </text>
    </comment>
  </commentList>
</comments>
</file>

<file path=xl/sharedStrings.xml><?xml version="1.0" encoding="utf-8"?>
<sst xmlns="http://schemas.openxmlformats.org/spreadsheetml/2006/main" count="113" uniqueCount="113">
  <si>
    <t>Preguntas</t>
  </si>
  <si>
    <t>SQL - NLP</t>
  </si>
  <si>
    <t>SQL - LLM</t>
  </si>
  <si>
    <t>Carlos</t>
  </si>
  <si>
    <t>Lista todos los clientes mostrando id_cliente, nombre, apellidos y email.</t>
  </si>
  <si>
    <t>Total preguntas:</t>
  </si>
  <si>
    <t>Muestra los clientes que sean de un país concreto.</t>
  </si>
  <si>
    <t>modelo</t>
  </si>
  <si>
    <t>aciertos</t>
  </si>
  <si>
    <t>score</t>
  </si>
  <si>
    <t>Ventas del 2024</t>
  </si>
  <si>
    <t>NLP</t>
  </si>
  <si>
    <t>Ventas por mes del 2023</t>
  </si>
  <si>
    <t>LLM</t>
  </si>
  <si>
    <t>Muestra las ventas totales por método de pago.</t>
  </si>
  <si>
    <t>Une clientes y transacciones para mostrar cada compra con país y ciudad del cliente.</t>
  </si>
  <si>
    <t>Calcula las ventas totales por país.</t>
  </si>
  <si>
    <t>Para cada cliente, calcula el número de transacciones y el gasto total.</t>
  </si>
  <si>
    <t>Muestra los clientes ordenados alfabéticamente por apellidos y nombre.</t>
  </si>
  <si>
    <t>Cuenta el número de transacciones por método de pago.</t>
  </si>
  <si>
    <t>Calcula el gasto total en envíos.</t>
  </si>
  <si>
    <t>Calcula las ventas totales por género del cliente.</t>
  </si>
  <si>
    <t>Calcula el precio medio de producto</t>
  </si>
  <si>
    <t>Encuentra los clientes cuyo gasto total es superior a la media de gasto de todos los clientes.</t>
  </si>
  <si>
    <t>Para cada país, devuelve el método de pago más utilizado.</t>
  </si>
  <si>
    <t>Calcula el AOV (average order value) por cliente.</t>
  </si>
  <si>
    <t>Crea una tabla de clientes nuevos versus recurrentes por mes.</t>
  </si>
  <si>
    <t>Calcula el churn mensual aproximado de clientes.</t>
  </si>
  <si>
    <t>Raquel</t>
  </si>
  <si>
    <t>Muestra los clientes con edad mayor o igual a 40, ordenados por edad descendente.</t>
  </si>
  <si>
    <t>Devuelve las 10 transacciones más recientes.</t>
  </si>
  <si>
    <t>Lista las transacciones de una categoría de producto accesorios</t>
  </si>
  <si>
    <t>Calcula el ticket medio de todas las transacciones.</t>
  </si>
  <si>
    <t>Muestra las ventas totales y el número de transacciones por categoría de producto.</t>
  </si>
  <si>
    <t>Calcula el precio unitario medio por categoría de producto.</t>
  </si>
  <si>
    <t>Muestra el top 10 de productos por unidades vendidas.</t>
  </si>
  <si>
    <t>Calcula las ventas mensuales agrupadas por año y mes.</t>
  </si>
  <si>
    <t>Calcula las ventas totales por ciudad y país.</t>
  </si>
  <si>
    <t>Calcula el número de clientes por país y género.</t>
  </si>
  <si>
    <t>Calcula el margen por transacción y muestra las transacciones con mayor margen.</t>
  </si>
  <si>
    <t>Calcula el margen total por categoría de producto.</t>
  </si>
  <si>
    <t>Para cada cliente, calcula el gasto total</t>
  </si>
  <si>
    <t>Encuentra los 20 clientes con mayor gasto total.</t>
  </si>
  <si>
    <t>Calcula las ventas mensuales y la variación porcentual respecto al mes anterior.</t>
  </si>
  <si>
    <t>Segmenta a los clientes por recencia según los días desde su última compra.</t>
  </si>
  <si>
    <t>Calcula el acumulado de ventas mensual.</t>
  </si>
  <si>
    <t>Analiza la categoría más comprada por cliente y crúzala con el país.</t>
  </si>
  <si>
    <t>Angel</t>
  </si>
  <si>
    <t xml:space="preserve">Devuelve todas las transacciones realizadas con un metodo de pago especifico </t>
  </si>
  <si>
    <t>Lista las transacciones donde la cantidad comprada sea mayor que 3.</t>
  </si>
  <si>
    <t>Calcula el importe máximo y mínimo de todas las transacciones.</t>
  </si>
  <si>
    <t>Calcula el total de unidades vendidas.</t>
  </si>
  <si>
    <t>Muestra el top 10 de productos por ingresos totales.</t>
  </si>
  <si>
    <t>Calcula el número de clientes por ciudad dentro de cada país.</t>
  </si>
  <si>
    <t>Calcula el promedio de venta</t>
  </si>
  <si>
    <t>Calcula el ranking de productos por ingresos y devuelve el top 3 por país.</t>
  </si>
  <si>
    <t>Encuentra los clientes que nunca han realizado ninguna compra.</t>
  </si>
  <si>
    <t>Para cada cliente, calcula en cuántos días distintos ha comprado.</t>
  </si>
  <si>
    <t>Muéstrame el promedio de ventas en 2023 por trimestre</t>
  </si>
  <si>
    <t>Clasifica a los clientes en Bronze, Silver y Gold según su gasto total.</t>
  </si>
  <si>
    <t>Para cada categoría de producto, devuelve el producto más vendido por unidades.</t>
  </si>
  <si>
    <t>Calcula las ventas por cliente y su porcentaje acumulado del total.</t>
  </si>
  <si>
    <t>Para cada cliente, encuentra la segunda compra y el tiempo desde la primera.</t>
  </si>
  <si>
    <t>Calcula el margen medio por categoría y compáralo con el margen global.</t>
  </si>
  <si>
    <t>Calcula el beneficio total por producto y devuelve los más rentables.</t>
  </si>
  <si>
    <t>Construye una tabla de transición de método de pago entre compras.</t>
  </si>
  <si>
    <t>Rocío</t>
  </si>
  <si>
    <t>Lista las transacciones cuyo precio unitario esté entre 20 y 50.</t>
  </si>
  <si>
    <t>Devuelve transacciones cuyo nombre de producto contenga una palabra concreta.</t>
  </si>
  <si>
    <t>Número de clientes menores de 30 en México en 2024</t>
  </si>
  <si>
    <t>Calcula el gasto total en fabricación.</t>
  </si>
  <si>
    <t>Calcula el beneficio total global.</t>
  </si>
  <si>
    <t>Calcula los ingresos diarios y encuentra el día con mayor facturación.</t>
  </si>
  <si>
    <t>Calcula los ingresos por día de la semana.</t>
  </si>
  <si>
    <t>Calcula los ingresos por trimestre y año.</t>
  </si>
  <si>
    <t>Calcula el beneficio total por país.</t>
  </si>
  <si>
    <t>Devuelve los 10 productos con peor margen.</t>
  </si>
  <si>
    <t>Calcula el margen porcentual por transacción.</t>
  </si>
  <si>
    <t>Para cada categoría, muestra ventas, costes totales y margen.</t>
  </si>
  <si>
    <t>Muestra los 50 clientes con mayor AOV junto a sus datos demográficos.</t>
  </si>
  <si>
    <t>Calcula el gasto medio por cliente.</t>
  </si>
  <si>
    <t>Encuentra clientes con al menos 3 compras y compras con valor superior a la media.</t>
  </si>
  <si>
    <t>Calcula el porcentaje de uso de cada método de pago dentro de cada país.</t>
  </si>
  <si>
    <t>Detecta transacciones atípicas por categoría.</t>
  </si>
  <si>
    <t>Encuentra los pares de productos que más se compran juntos.</t>
  </si>
  <si>
    <t>Mary</t>
  </si>
  <si>
    <t>Lista las transacciones con importe total nulo o igual a cero.</t>
  </si>
  <si>
    <t>Detecta transacciones donde el importe total no coincida con precio unitario por cantidad.</t>
  </si>
  <si>
    <t>Devuelve clientes cuya ciudad esté vacía o sea NULL.</t>
  </si>
  <si>
    <t>Calcula el número de transacciones por día.</t>
  </si>
  <si>
    <t>Calcula los ingresos por día.</t>
  </si>
  <si>
    <t>Calcula el coste total de fabricación.</t>
  </si>
  <si>
    <t>Calcula el beneficio total por país y producto.</t>
  </si>
  <si>
    <t>Calcula el top 15 productos más rentables.</t>
  </si>
  <si>
    <t>Calcula el margen porcentual por categoría de producto.</t>
  </si>
  <si>
    <t>Calcula el AOV por cliente y ordénalo descendentemente.</t>
  </si>
  <si>
    <t>Calcula el basket size medio por cliente.</t>
  </si>
  <si>
    <t>Encuentra clientes monoproducto.</t>
  </si>
  <si>
    <t>Encuentra clientes multicategoría (3 o más categorías).</t>
  </si>
  <si>
    <t>Segmenta clientes por rangos de edad y analiza ventas.</t>
  </si>
  <si>
    <t>Agrupa clientes en cohortes por mes de primera compra.</t>
  </si>
  <si>
    <t>Calcula el revenue por cohorte y mes desde la primera compra.</t>
  </si>
  <si>
    <t>Detecta días pico de gasto por cliente.</t>
  </si>
  <si>
    <t>Calcula churn mensual comparando meses consecutivos.</t>
  </si>
  <si>
    <t>RECUENTO</t>
  </si>
  <si>
    <t>NLP - Modelo de reglas</t>
  </si>
  <si>
    <t>LLM - Groq</t>
  </si>
  <si>
    <t>KPI Validación</t>
  </si>
  <si>
    <t>Coste</t>
  </si>
  <si>
    <t>Mayor coste implantacion y menos de mantenimiento</t>
  </si>
  <si>
    <t>Menor coste implantancion pero coste asociado por tokens</t>
  </si>
  <si>
    <t>Modelo caja Blanca</t>
  </si>
  <si>
    <t>Modelo caja negra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</si>
</sst>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9" xfId="0" applyBorder="1" applyFont="1" applyNumberForma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Fill="1" applyFon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13"/>
    <col customWidth="1" min="6" max="6" width="6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3"/>
    </row>
    <row r="3">
      <c r="A3" s="4" t="s">
        <v>4</v>
      </c>
      <c r="B3" s="4">
        <v>1.0</v>
      </c>
      <c r="C3" s="4">
        <v>1.0</v>
      </c>
      <c r="E3" s="4" t="s">
        <v>5</v>
      </c>
      <c r="F3" s="4">
        <v>90.0</v>
      </c>
    </row>
    <row r="4">
      <c r="A4" s="4" t="s">
        <v>6</v>
      </c>
      <c r="B4" s="4">
        <v>1.0</v>
      </c>
      <c r="C4" s="4">
        <v>1.0</v>
      </c>
      <c r="E4" s="5" t="s">
        <v>7</v>
      </c>
      <c r="F4" s="5" t="s">
        <v>8</v>
      </c>
      <c r="G4" s="5" t="s">
        <v>9</v>
      </c>
    </row>
    <row r="5">
      <c r="A5" s="4" t="s">
        <v>10</v>
      </c>
      <c r="B5" s="4">
        <v>1.0</v>
      </c>
      <c r="C5" s="4">
        <v>1.0</v>
      </c>
      <c r="E5" s="6" t="s">
        <v>11</v>
      </c>
      <c r="F5" s="6">
        <f>B97</f>
        <v>22</v>
      </c>
      <c r="G5" s="7">
        <f>F5/F3</f>
        <v>0.2444444444</v>
      </c>
    </row>
    <row r="6">
      <c r="A6" s="4" t="s">
        <v>12</v>
      </c>
      <c r="B6" s="4">
        <v>1.0</v>
      </c>
      <c r="C6" s="4">
        <v>1.0</v>
      </c>
      <c r="E6" s="6" t="s">
        <v>13</v>
      </c>
      <c r="F6" s="6">
        <f>C97</f>
        <v>82</v>
      </c>
      <c r="G6" s="7">
        <f>F6/F3</f>
        <v>0.9111111111</v>
      </c>
    </row>
    <row r="7">
      <c r="A7" s="4" t="s">
        <v>14</v>
      </c>
      <c r="B7" s="4">
        <v>1.0</v>
      </c>
      <c r="C7" s="4">
        <v>1.0</v>
      </c>
    </row>
    <row r="8">
      <c r="A8" s="4" t="s">
        <v>15</v>
      </c>
      <c r="B8" s="4">
        <v>0.0</v>
      </c>
      <c r="C8" s="4">
        <v>1.0</v>
      </c>
    </row>
    <row r="9">
      <c r="A9" s="4" t="s">
        <v>16</v>
      </c>
      <c r="B9" s="4">
        <v>0.0</v>
      </c>
      <c r="C9" s="4">
        <v>1.0</v>
      </c>
    </row>
    <row r="10">
      <c r="A10" s="4" t="s">
        <v>17</v>
      </c>
      <c r="B10" s="4">
        <v>1.0</v>
      </c>
      <c r="C10" s="4">
        <v>1.0</v>
      </c>
    </row>
    <row r="11">
      <c r="A11" s="4" t="s">
        <v>18</v>
      </c>
      <c r="B11" s="4">
        <v>0.0</v>
      </c>
      <c r="C11" s="4">
        <v>1.0</v>
      </c>
    </row>
    <row r="12">
      <c r="A12" s="4" t="s">
        <v>19</v>
      </c>
      <c r="B12" s="4">
        <v>1.0</v>
      </c>
      <c r="C12" s="4">
        <v>1.0</v>
      </c>
    </row>
    <row r="13">
      <c r="A13" s="4" t="s">
        <v>20</v>
      </c>
      <c r="B13" s="4">
        <v>0.0</v>
      </c>
      <c r="C13" s="4">
        <v>1.0</v>
      </c>
    </row>
    <row r="14">
      <c r="A14" s="4" t="s">
        <v>21</v>
      </c>
      <c r="B14" s="4">
        <v>0.0</v>
      </c>
      <c r="C14" s="4">
        <v>1.0</v>
      </c>
    </row>
    <row r="15">
      <c r="A15" s="4" t="s">
        <v>22</v>
      </c>
      <c r="B15" s="4">
        <v>1.0</v>
      </c>
      <c r="C15" s="4">
        <v>1.0</v>
      </c>
    </row>
    <row r="16">
      <c r="A16" s="4" t="s">
        <v>23</v>
      </c>
      <c r="B16" s="4">
        <v>1.0</v>
      </c>
      <c r="C16" s="4">
        <v>1.0</v>
      </c>
    </row>
    <row r="17">
      <c r="A17" s="4" t="s">
        <v>24</v>
      </c>
      <c r="B17" s="4">
        <v>0.0</v>
      </c>
      <c r="C17" s="4">
        <v>1.0</v>
      </c>
    </row>
    <row r="18">
      <c r="A18" s="4" t="s">
        <v>25</v>
      </c>
      <c r="B18" s="4">
        <v>0.0</v>
      </c>
      <c r="C18" s="4">
        <v>1.0</v>
      </c>
    </row>
    <row r="19">
      <c r="A19" s="4" t="s">
        <v>26</v>
      </c>
      <c r="B19" s="4">
        <v>0.0</v>
      </c>
      <c r="C19" s="4">
        <v>1.0</v>
      </c>
    </row>
    <row r="20">
      <c r="A20" s="4" t="s">
        <v>27</v>
      </c>
      <c r="B20" s="4">
        <v>0.0</v>
      </c>
      <c r="C20" s="4">
        <v>1.0</v>
      </c>
    </row>
    <row r="21">
      <c r="A21" s="8" t="s">
        <v>28</v>
      </c>
      <c r="B21" s="8"/>
      <c r="C21" s="8"/>
    </row>
    <row r="22">
      <c r="A22" s="4" t="s">
        <v>29</v>
      </c>
      <c r="B22" s="4">
        <v>0.0</v>
      </c>
      <c r="C22" s="4">
        <v>1.0</v>
      </c>
    </row>
    <row r="23">
      <c r="A23" s="4" t="s">
        <v>30</v>
      </c>
      <c r="B23" s="4">
        <v>0.0</v>
      </c>
      <c r="C23" s="4">
        <v>1.0</v>
      </c>
    </row>
    <row r="24">
      <c r="A24" s="4" t="s">
        <v>31</v>
      </c>
      <c r="B24" s="4">
        <v>0.0</v>
      </c>
      <c r="C24" s="4">
        <v>0.0</v>
      </c>
    </row>
    <row r="25">
      <c r="A25" s="4" t="s">
        <v>32</v>
      </c>
      <c r="B25" s="4">
        <v>0.0</v>
      </c>
      <c r="C25" s="4">
        <v>1.0</v>
      </c>
    </row>
    <row r="26">
      <c r="A26" s="4" t="s">
        <v>33</v>
      </c>
      <c r="B26" s="4">
        <v>0.0</v>
      </c>
      <c r="C26" s="4">
        <v>1.0</v>
      </c>
    </row>
    <row r="27">
      <c r="A27" s="4" t="s">
        <v>34</v>
      </c>
      <c r="B27" s="4">
        <v>0.0</v>
      </c>
      <c r="C27" s="4">
        <v>1.0</v>
      </c>
    </row>
    <row r="28">
      <c r="A28" s="4" t="s">
        <v>35</v>
      </c>
      <c r="B28" s="4">
        <v>1.0</v>
      </c>
      <c r="C28" s="4">
        <v>1.0</v>
      </c>
    </row>
    <row r="29">
      <c r="A29" s="4" t="s">
        <v>36</v>
      </c>
      <c r="B29" s="4">
        <v>0.0</v>
      </c>
      <c r="C29" s="4">
        <v>1.0</v>
      </c>
    </row>
    <row r="30">
      <c r="A30" s="4" t="s">
        <v>37</v>
      </c>
      <c r="B30" s="4">
        <v>0.0</v>
      </c>
      <c r="C30" s="4">
        <v>1.0</v>
      </c>
    </row>
    <row r="31">
      <c r="A31" s="4" t="s">
        <v>38</v>
      </c>
      <c r="B31" s="4">
        <v>0.0</v>
      </c>
      <c r="C31" s="4">
        <v>1.0</v>
      </c>
    </row>
    <row r="32">
      <c r="A32" s="4" t="s">
        <v>39</v>
      </c>
      <c r="B32" s="4">
        <v>0.0</v>
      </c>
      <c r="C32" s="4">
        <v>1.0</v>
      </c>
    </row>
    <row r="33">
      <c r="A33" s="4" t="s">
        <v>40</v>
      </c>
      <c r="B33" s="4">
        <v>0.0</v>
      </c>
      <c r="C33" s="4">
        <v>1.0</v>
      </c>
    </row>
    <row r="34">
      <c r="A34" s="4" t="s">
        <v>41</v>
      </c>
      <c r="B34" s="4">
        <v>0.0</v>
      </c>
      <c r="C34" s="4">
        <v>1.0</v>
      </c>
    </row>
    <row r="35">
      <c r="A35" s="4" t="s">
        <v>42</v>
      </c>
      <c r="B35" s="4">
        <v>0.0</v>
      </c>
      <c r="C35" s="4">
        <v>1.0</v>
      </c>
    </row>
    <row r="36">
      <c r="A36" s="4" t="s">
        <v>43</v>
      </c>
      <c r="B36" s="4">
        <v>0.0</v>
      </c>
      <c r="C36" s="4">
        <v>1.0</v>
      </c>
    </row>
    <row r="37">
      <c r="A37" s="4" t="s">
        <v>44</v>
      </c>
      <c r="B37" s="4">
        <v>0.0</v>
      </c>
      <c r="C37" s="4">
        <v>0.0</v>
      </c>
    </row>
    <row r="38">
      <c r="A38" s="4" t="s">
        <v>45</v>
      </c>
      <c r="B38" s="4">
        <v>0.0</v>
      </c>
      <c r="C38" s="4">
        <v>1.0</v>
      </c>
    </row>
    <row r="39">
      <c r="A39" s="4" t="s">
        <v>46</v>
      </c>
      <c r="B39" s="4">
        <v>0.0</v>
      </c>
      <c r="C39" s="4">
        <v>1.0</v>
      </c>
    </row>
    <row r="40">
      <c r="A40" s="9" t="s">
        <v>47</v>
      </c>
      <c r="B40" s="9"/>
      <c r="C40" s="9"/>
    </row>
    <row r="41">
      <c r="A41" s="4" t="s">
        <v>48</v>
      </c>
      <c r="B41" s="4">
        <v>1.0</v>
      </c>
      <c r="C41" s="4">
        <v>1.0</v>
      </c>
    </row>
    <row r="42">
      <c r="A42" s="4" t="s">
        <v>49</v>
      </c>
      <c r="B42" s="4">
        <v>1.0</v>
      </c>
      <c r="C42" s="4">
        <v>1.0</v>
      </c>
    </row>
    <row r="43">
      <c r="A43" s="4" t="s">
        <v>50</v>
      </c>
      <c r="B43" s="4">
        <v>0.0</v>
      </c>
      <c r="C43" s="4">
        <v>1.0</v>
      </c>
    </row>
    <row r="44">
      <c r="A44" s="4" t="s">
        <v>51</v>
      </c>
      <c r="B44" s="4">
        <v>1.0</v>
      </c>
      <c r="C44" s="4">
        <v>1.0</v>
      </c>
    </row>
    <row r="45">
      <c r="A45" s="4" t="s">
        <v>52</v>
      </c>
      <c r="B45" s="4">
        <v>1.0</v>
      </c>
      <c r="C45" s="4">
        <v>1.0</v>
      </c>
    </row>
    <row r="46">
      <c r="A46" s="4" t="s">
        <v>53</v>
      </c>
      <c r="B46" s="4">
        <v>0.0</v>
      </c>
      <c r="C46" s="4">
        <v>1.0</v>
      </c>
    </row>
    <row r="47">
      <c r="A47" s="4" t="s">
        <v>54</v>
      </c>
      <c r="B47" s="4">
        <v>1.0</v>
      </c>
      <c r="C47" s="4">
        <v>1.0</v>
      </c>
    </row>
    <row r="48">
      <c r="A48" s="4" t="s">
        <v>55</v>
      </c>
      <c r="B48" s="4">
        <v>0.0</v>
      </c>
      <c r="C48" s="4">
        <v>1.0</v>
      </c>
    </row>
    <row r="49">
      <c r="A49" s="4" t="s">
        <v>56</v>
      </c>
      <c r="B49" s="4">
        <v>0.0</v>
      </c>
      <c r="C49" s="4">
        <v>1.0</v>
      </c>
    </row>
    <row r="50">
      <c r="A50" s="4" t="s">
        <v>57</v>
      </c>
      <c r="B50" s="4">
        <v>0.0</v>
      </c>
      <c r="C50" s="4">
        <v>1.0</v>
      </c>
    </row>
    <row r="51">
      <c r="A51" s="4" t="s">
        <v>58</v>
      </c>
      <c r="B51" s="4">
        <v>1.0</v>
      </c>
      <c r="C51" s="4">
        <v>1.0</v>
      </c>
    </row>
    <row r="52">
      <c r="A52" s="4" t="s">
        <v>59</v>
      </c>
      <c r="B52" s="4">
        <v>0.0</v>
      </c>
      <c r="C52" s="4">
        <v>1.0</v>
      </c>
    </row>
    <row r="53">
      <c r="A53" s="4" t="s">
        <v>60</v>
      </c>
      <c r="B53" s="4">
        <v>0.0</v>
      </c>
      <c r="C53" s="4">
        <v>1.0</v>
      </c>
    </row>
    <row r="54">
      <c r="A54" s="4" t="s">
        <v>61</v>
      </c>
      <c r="B54" s="4">
        <v>0.0</v>
      </c>
      <c r="C54" s="4">
        <v>1.0</v>
      </c>
    </row>
    <row r="55">
      <c r="A55" s="4" t="s">
        <v>62</v>
      </c>
      <c r="B55" s="4">
        <v>1.0</v>
      </c>
      <c r="C55" s="4">
        <v>1.0</v>
      </c>
    </row>
    <row r="56">
      <c r="A56" s="4" t="s">
        <v>63</v>
      </c>
      <c r="B56" s="4">
        <v>0.0</v>
      </c>
      <c r="C56" s="4">
        <v>1.0</v>
      </c>
    </row>
    <row r="57">
      <c r="A57" s="4" t="s">
        <v>64</v>
      </c>
      <c r="B57" s="4">
        <v>0.0</v>
      </c>
      <c r="C57" s="4">
        <v>1.0</v>
      </c>
    </row>
    <row r="58">
      <c r="A58" s="4" t="s">
        <v>65</v>
      </c>
      <c r="B58" s="4">
        <v>0.0</v>
      </c>
      <c r="C58" s="4">
        <v>1.0</v>
      </c>
    </row>
    <row r="59">
      <c r="A59" s="10" t="s">
        <v>66</v>
      </c>
      <c r="B59" s="10"/>
      <c r="C59" s="10"/>
    </row>
    <row r="60">
      <c r="A60" s="4" t="s">
        <v>67</v>
      </c>
      <c r="B60" s="4">
        <v>0.0</v>
      </c>
      <c r="C60" s="4">
        <v>1.0</v>
      </c>
    </row>
    <row r="61">
      <c r="A61" s="4" t="s">
        <v>68</v>
      </c>
      <c r="B61" s="4">
        <v>0.0</v>
      </c>
      <c r="C61" s="4">
        <v>1.0</v>
      </c>
    </row>
    <row r="62">
      <c r="A62" s="4" t="s">
        <v>69</v>
      </c>
      <c r="B62" s="4">
        <v>1.0</v>
      </c>
      <c r="C62" s="4">
        <v>1.0</v>
      </c>
    </row>
    <row r="63">
      <c r="A63" s="4" t="s">
        <v>70</v>
      </c>
      <c r="B63" s="4">
        <v>0.0</v>
      </c>
      <c r="C63" s="4">
        <v>1.0</v>
      </c>
    </row>
    <row r="64">
      <c r="A64" s="4" t="s">
        <v>71</v>
      </c>
      <c r="B64" s="4">
        <v>0.0</v>
      </c>
      <c r="C64" s="4">
        <v>1.0</v>
      </c>
    </row>
    <row r="65">
      <c r="A65" s="4" t="s">
        <v>72</v>
      </c>
      <c r="B65" s="4">
        <v>0.0</v>
      </c>
      <c r="C65" s="4">
        <v>1.0</v>
      </c>
    </row>
    <row r="66">
      <c r="A66" s="4" t="s">
        <v>73</v>
      </c>
      <c r="B66" s="4">
        <v>0.0</v>
      </c>
      <c r="C66" s="4">
        <v>1.0</v>
      </c>
    </row>
    <row r="67">
      <c r="A67" s="4" t="s">
        <v>74</v>
      </c>
      <c r="B67" s="4">
        <v>0.0</v>
      </c>
      <c r="C67" s="4">
        <v>1.0</v>
      </c>
    </row>
    <row r="68">
      <c r="A68" s="4" t="s">
        <v>75</v>
      </c>
      <c r="B68" s="4">
        <v>0.0</v>
      </c>
      <c r="C68" s="4">
        <v>1.0</v>
      </c>
    </row>
    <row r="69">
      <c r="A69" s="4" t="s">
        <v>76</v>
      </c>
      <c r="B69" s="4">
        <v>0.0</v>
      </c>
      <c r="C69" s="4">
        <v>1.0</v>
      </c>
    </row>
    <row r="70">
      <c r="A70" s="4" t="s">
        <v>77</v>
      </c>
      <c r="B70" s="4">
        <v>0.0</v>
      </c>
      <c r="C70" s="4">
        <v>1.0</v>
      </c>
    </row>
    <row r="71">
      <c r="A71" s="4" t="s">
        <v>78</v>
      </c>
      <c r="B71" s="4">
        <v>0.0</v>
      </c>
      <c r="C71" s="4">
        <v>0.0</v>
      </c>
    </row>
    <row r="72">
      <c r="A72" s="4" t="s">
        <v>79</v>
      </c>
      <c r="B72" s="4">
        <v>1.0</v>
      </c>
      <c r="C72" s="4">
        <v>1.0</v>
      </c>
    </row>
    <row r="73">
      <c r="A73" s="4" t="s">
        <v>80</v>
      </c>
      <c r="B73" s="4">
        <v>0.0</v>
      </c>
      <c r="C73" s="4">
        <v>1.0</v>
      </c>
    </row>
    <row r="74">
      <c r="A74" s="4" t="s">
        <v>81</v>
      </c>
      <c r="B74" s="4">
        <v>0.0</v>
      </c>
      <c r="C74" s="4">
        <v>1.0</v>
      </c>
    </row>
    <row r="75">
      <c r="A75" s="4" t="s">
        <v>82</v>
      </c>
      <c r="B75" s="4">
        <v>0.0</v>
      </c>
      <c r="C75" s="4">
        <v>0.0</v>
      </c>
    </row>
    <row r="76">
      <c r="A76" s="4" t="s">
        <v>83</v>
      </c>
      <c r="B76" s="4">
        <v>1.0</v>
      </c>
      <c r="C76" s="4">
        <v>1.0</v>
      </c>
    </row>
    <row r="77">
      <c r="A77" s="4" t="s">
        <v>84</v>
      </c>
      <c r="B77" s="4">
        <v>0.0</v>
      </c>
      <c r="C77" s="4">
        <v>1.0</v>
      </c>
    </row>
    <row r="78">
      <c r="A78" s="11" t="s">
        <v>85</v>
      </c>
      <c r="B78" s="11"/>
      <c r="C78" s="11"/>
    </row>
    <row r="79">
      <c r="A79" s="4" t="s">
        <v>86</v>
      </c>
      <c r="B79" s="4">
        <v>0.0</v>
      </c>
      <c r="C79" s="4">
        <v>1.0</v>
      </c>
    </row>
    <row r="80">
      <c r="A80" s="4" t="s">
        <v>87</v>
      </c>
      <c r="B80" s="4">
        <v>0.0</v>
      </c>
      <c r="C80" s="4">
        <v>1.0</v>
      </c>
    </row>
    <row r="81">
      <c r="A81" s="4" t="s">
        <v>88</v>
      </c>
      <c r="B81" s="4">
        <v>0.0</v>
      </c>
      <c r="C81" s="4">
        <v>1.0</v>
      </c>
    </row>
    <row r="82">
      <c r="A82" s="4" t="s">
        <v>89</v>
      </c>
      <c r="B82" s="4">
        <v>0.0</v>
      </c>
      <c r="C82" s="4">
        <v>1.0</v>
      </c>
    </row>
    <row r="83">
      <c r="A83" s="4" t="s">
        <v>90</v>
      </c>
      <c r="B83" s="4">
        <v>0.0</v>
      </c>
      <c r="C83" s="4">
        <v>1.0</v>
      </c>
    </row>
    <row r="84">
      <c r="A84" s="4" t="s">
        <v>91</v>
      </c>
      <c r="B84" s="4">
        <v>0.0</v>
      </c>
      <c r="C84" s="4">
        <v>1.0</v>
      </c>
    </row>
    <row r="85">
      <c r="A85" s="4" t="s">
        <v>92</v>
      </c>
      <c r="B85" s="4">
        <v>0.0</v>
      </c>
      <c r="C85" s="4">
        <v>1.0</v>
      </c>
    </row>
    <row r="86">
      <c r="A86" s="4" t="s">
        <v>93</v>
      </c>
      <c r="B86" s="4">
        <v>0.0</v>
      </c>
      <c r="C86" s="4">
        <v>1.0</v>
      </c>
    </row>
    <row r="87">
      <c r="A87" s="4" t="s">
        <v>94</v>
      </c>
      <c r="B87" s="4">
        <v>0.0</v>
      </c>
      <c r="C87" s="4">
        <v>1.0</v>
      </c>
    </row>
    <row r="88">
      <c r="A88" s="4" t="s">
        <v>95</v>
      </c>
      <c r="B88" s="4">
        <v>0.0</v>
      </c>
      <c r="C88" s="4">
        <v>1.0</v>
      </c>
    </row>
    <row r="89">
      <c r="A89" s="4" t="s">
        <v>96</v>
      </c>
      <c r="B89" s="4">
        <v>0.0</v>
      </c>
      <c r="C89" s="4">
        <v>0.0</v>
      </c>
    </row>
    <row r="90">
      <c r="A90" s="4" t="s">
        <v>97</v>
      </c>
      <c r="B90" s="4">
        <v>0.0</v>
      </c>
      <c r="C90" s="4">
        <v>1.0</v>
      </c>
    </row>
    <row r="91">
      <c r="A91" s="4" t="s">
        <v>98</v>
      </c>
      <c r="B91" s="4">
        <v>1.0</v>
      </c>
      <c r="C91" s="4">
        <v>1.0</v>
      </c>
    </row>
    <row r="92">
      <c r="A92" s="4" t="s">
        <v>99</v>
      </c>
      <c r="B92" s="4">
        <v>0.0</v>
      </c>
      <c r="C92" s="4">
        <v>0.0</v>
      </c>
    </row>
    <row r="93">
      <c r="A93" s="4" t="s">
        <v>100</v>
      </c>
      <c r="B93" s="4">
        <v>0.0</v>
      </c>
      <c r="C93" s="4">
        <v>0.0</v>
      </c>
    </row>
    <row r="94">
      <c r="A94" s="4" t="s">
        <v>101</v>
      </c>
      <c r="B94" s="4">
        <v>0.0</v>
      </c>
      <c r="C94" s="4">
        <v>0.0</v>
      </c>
    </row>
    <row r="95">
      <c r="A95" s="4" t="s">
        <v>102</v>
      </c>
      <c r="B95" s="4">
        <v>1.0</v>
      </c>
      <c r="C95" s="4">
        <v>1.0</v>
      </c>
    </row>
    <row r="96">
      <c r="A96" s="4" t="s">
        <v>103</v>
      </c>
      <c r="B96" s="4">
        <v>0.0</v>
      </c>
      <c r="C96" s="4">
        <v>1.0</v>
      </c>
    </row>
    <row r="97">
      <c r="A97" s="12" t="s">
        <v>104</v>
      </c>
      <c r="B97" s="12">
        <f t="shared" ref="B97:C97" si="1">SUM(B2:B96)</f>
        <v>22</v>
      </c>
      <c r="C97" s="12">
        <f t="shared" si="1"/>
        <v>82</v>
      </c>
    </row>
  </sheetData>
  <autoFilter ref="$A$1:$C$100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41.63"/>
    <col customWidth="1" min="3" max="3" width="46.75"/>
  </cols>
  <sheetData>
    <row r="1">
      <c r="B1" s="4" t="s">
        <v>105</v>
      </c>
      <c r="C1" s="4" t="s">
        <v>106</v>
      </c>
    </row>
    <row r="2">
      <c r="A2" s="4" t="s">
        <v>107</v>
      </c>
      <c r="B2" s="13">
        <v>0.25</v>
      </c>
      <c r="C2" s="13">
        <v>0.98</v>
      </c>
    </row>
    <row r="3">
      <c r="A3" s="4" t="s">
        <v>108</v>
      </c>
      <c r="B3" s="4" t="s">
        <v>109</v>
      </c>
      <c r="C3" s="4" t="s">
        <v>110</v>
      </c>
    </row>
    <row r="4">
      <c r="B4" s="4" t="s">
        <v>111</v>
      </c>
      <c r="C4" s="4" t="s">
        <v>112</v>
      </c>
    </row>
  </sheetData>
  <drawing r:id="rId1"/>
</worksheet>
</file>